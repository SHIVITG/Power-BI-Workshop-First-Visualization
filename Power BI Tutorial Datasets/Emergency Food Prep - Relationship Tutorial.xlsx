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ergency Store" sheetId="1" r:id="rId4"/>
    <sheet state="visible" name="Emergency Sales" sheetId="2" r:id="rId5"/>
    <sheet state="visible" name="Customer Information" sheetId="3" r:id="rId6"/>
  </sheets>
  <definedNames/>
  <calcPr/>
  <extLst>
    <ext uri="GoogleSheetsCustomDataVersion2">
      <go:sheetsCustomData xmlns:go="http://customooxmlschemas.google.com/" r:id="rId7" roundtripDataChecksum="59UUsh7wSBIy/rM5b+IhOE1Rs4uXIFEnehkEkGbcKbY="/>
    </ext>
  </extLst>
</workbook>
</file>

<file path=xl/sharedStrings.xml><?xml version="1.0" encoding="utf-8"?>
<sst xmlns="http://schemas.openxmlformats.org/spreadsheetml/2006/main" count="116" uniqueCount="39">
  <si>
    <t>Product ID</t>
  </si>
  <si>
    <t>Product Name</t>
  </si>
  <si>
    <t>Price</t>
  </si>
  <si>
    <t>Production Cost</t>
  </si>
  <si>
    <t>Nylon Rope</t>
  </si>
  <si>
    <t>Waterproof Matches</t>
  </si>
  <si>
    <t xml:space="preserve">Stainless Steel Axe </t>
  </si>
  <si>
    <t>Backpack</t>
  </si>
  <si>
    <t>Multitool Survivial Knife</t>
  </si>
  <si>
    <t>Solar Battery Flashlight</t>
  </si>
  <si>
    <t>Weatherproof Jacket</t>
  </si>
  <si>
    <t>Duct Tape</t>
  </si>
  <si>
    <t>Water Purifier</t>
  </si>
  <si>
    <t>N95 Mask</t>
  </si>
  <si>
    <t>Cust ID</t>
  </si>
  <si>
    <t>Customer</t>
  </si>
  <si>
    <t>Order ID</t>
  </si>
  <si>
    <t>Units Sold</t>
  </si>
  <si>
    <t>Date Purchased</t>
  </si>
  <si>
    <t>Uncle Joe's Prep Shop</t>
  </si>
  <si>
    <t xml:space="preserve">Emergency Preppers </t>
  </si>
  <si>
    <t>Emergency Preppers United</t>
  </si>
  <si>
    <t>Prep4Anything Prepping Store</t>
  </si>
  <si>
    <t>Customer ID</t>
  </si>
  <si>
    <t>Address</t>
  </si>
  <si>
    <t>City</t>
  </si>
  <si>
    <t>State</t>
  </si>
  <si>
    <t>Zipcode</t>
  </si>
  <si>
    <t>123 Main Street</t>
  </si>
  <si>
    <t>Dallas</t>
  </si>
  <si>
    <t>Texas</t>
  </si>
  <si>
    <t>369 Real Avenue</t>
  </si>
  <si>
    <t>New York</t>
  </si>
  <si>
    <t>444 Four Street</t>
  </si>
  <si>
    <t>Benson</t>
  </si>
  <si>
    <t>Minnesota</t>
  </si>
  <si>
    <t>927 Apoco Street</t>
  </si>
  <si>
    <t>Jefferson City</t>
  </si>
  <si>
    <t>Missouri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</si>
</sst>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Font="1"/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27.29"/>
    <col customWidth="1" min="3" max="3" width="8.71"/>
    <col customWidth="1" min="4" max="4" width="14.14"/>
    <col customWidth="1" min="5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4.25" customHeight="1">
      <c r="A2" s="3">
        <v>10001.0</v>
      </c>
      <c r="B2" s="2" t="s">
        <v>4</v>
      </c>
      <c r="C2" s="2">
        <v>30.99</v>
      </c>
      <c r="D2" s="2">
        <v>13.67</v>
      </c>
    </row>
    <row r="3" ht="14.25" customHeight="1">
      <c r="A3" s="3">
        <v>10002.0</v>
      </c>
      <c r="B3" s="2" t="s">
        <v>5</v>
      </c>
      <c r="C3" s="2">
        <v>7.99</v>
      </c>
      <c r="D3" s="2">
        <v>2.89</v>
      </c>
    </row>
    <row r="4" ht="14.25" customHeight="1">
      <c r="A4" s="3">
        <v>10003.0</v>
      </c>
      <c r="B4" s="2" t="s">
        <v>6</v>
      </c>
      <c r="C4" s="2">
        <v>45.5</v>
      </c>
      <c r="D4" s="2">
        <v>32.45</v>
      </c>
    </row>
    <row r="5" ht="14.25" customHeight="1">
      <c r="A5" s="3">
        <v>10004.0</v>
      </c>
      <c r="B5" s="2" t="s">
        <v>7</v>
      </c>
      <c r="C5" s="2">
        <v>39.99</v>
      </c>
      <c r="D5" s="2">
        <v>26.92</v>
      </c>
    </row>
    <row r="6" ht="14.25" customHeight="1">
      <c r="A6" s="3">
        <v>10005.0</v>
      </c>
      <c r="B6" s="2" t="s">
        <v>8</v>
      </c>
      <c r="C6" s="2">
        <v>28.99</v>
      </c>
      <c r="D6" s="2">
        <v>10.58</v>
      </c>
    </row>
    <row r="7" ht="14.25" customHeight="1">
      <c r="A7" s="3">
        <v>10006.0</v>
      </c>
      <c r="B7" s="2" t="s">
        <v>9</v>
      </c>
      <c r="C7" s="2">
        <v>26.49</v>
      </c>
      <c r="D7" s="2">
        <v>13.41</v>
      </c>
    </row>
    <row r="8" ht="14.25" customHeight="1">
      <c r="A8" s="3">
        <v>10007.0</v>
      </c>
      <c r="B8" s="2" t="s">
        <v>10</v>
      </c>
      <c r="C8" s="2">
        <v>79.99</v>
      </c>
      <c r="D8" s="2">
        <v>30.59</v>
      </c>
    </row>
    <row r="9" ht="14.25" customHeight="1">
      <c r="A9" s="3">
        <v>10008.0</v>
      </c>
      <c r="B9" s="2" t="s">
        <v>11</v>
      </c>
      <c r="C9" s="2">
        <v>6.25</v>
      </c>
      <c r="D9" s="2">
        <v>4.87</v>
      </c>
    </row>
    <row r="10" ht="14.25" customHeight="1">
      <c r="A10" s="3">
        <v>10009.0</v>
      </c>
      <c r="B10" s="2" t="s">
        <v>12</v>
      </c>
      <c r="C10" s="2">
        <v>30.25</v>
      </c>
      <c r="D10" s="2">
        <v>17.93</v>
      </c>
    </row>
    <row r="11" ht="14.25" customHeight="1">
      <c r="A11" s="3">
        <v>10010.0</v>
      </c>
      <c r="B11" s="2" t="s">
        <v>13</v>
      </c>
      <c r="C11" s="2">
        <v>2.75</v>
      </c>
      <c r="D11" s="2">
        <v>1.01</v>
      </c>
    </row>
    <row r="12" ht="14.25" customHeight="1">
      <c r="A12" s="1"/>
    </row>
    <row r="13" ht="14.25" customHeight="1">
      <c r="A13" s="1"/>
    </row>
    <row r="14" ht="14.25" customHeight="1">
      <c r="A14" s="1"/>
    </row>
    <row r="15" ht="14.25" customHeight="1">
      <c r="A15" s="1"/>
    </row>
    <row r="16" ht="14.25" customHeight="1">
      <c r="A16" s="1"/>
    </row>
    <row r="17" ht="14.25" customHeight="1">
      <c r="A17" s="1"/>
    </row>
    <row r="18" ht="14.25" customHeight="1">
      <c r="A18" s="1"/>
    </row>
    <row r="19" ht="14.25" customHeight="1">
      <c r="A19" s="1"/>
    </row>
    <row r="20" ht="14.25" customHeight="1">
      <c r="A20" s="1"/>
    </row>
    <row r="21" ht="14.25" customHeight="1">
      <c r="A21" s="1"/>
    </row>
    <row r="22" ht="14.25" customHeight="1">
      <c r="A22" s="1"/>
    </row>
    <row r="23" ht="14.25" customHeight="1">
      <c r="A23" s="1"/>
    </row>
    <row r="24" ht="14.25" customHeight="1">
      <c r="A24" s="1"/>
    </row>
    <row r="25" ht="14.25" customHeight="1">
      <c r="A25" s="1"/>
    </row>
    <row r="26" ht="14.25" customHeight="1">
      <c r="A26" s="1"/>
    </row>
    <row r="27" ht="14.25" customHeight="1">
      <c r="A27" s="1"/>
    </row>
    <row r="28" ht="14.25" customHeight="1">
      <c r="A28" s="1"/>
    </row>
    <row r="29" ht="14.25" customHeight="1">
      <c r="A29" s="1"/>
    </row>
    <row r="30" ht="14.25" customHeight="1">
      <c r="A30" s="1"/>
    </row>
    <row r="31" ht="14.25" customHeight="1">
      <c r="A31" s="1"/>
    </row>
    <row r="32" ht="14.25" customHeight="1">
      <c r="A32" s="1"/>
    </row>
    <row r="33" ht="14.25" customHeight="1">
      <c r="A33" s="1"/>
    </row>
    <row r="34" ht="14.25" customHeight="1">
      <c r="A34" s="1"/>
    </row>
    <row r="35" ht="14.25" customHeight="1">
      <c r="A35" s="1"/>
    </row>
    <row r="36" ht="14.25" customHeight="1">
      <c r="A36" s="1"/>
    </row>
    <row r="37" ht="14.25" customHeight="1">
      <c r="A37" s="1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  <row r="998" ht="14.25" customHeight="1">
      <c r="A998" s="1"/>
    </row>
    <row r="999" ht="14.25" customHeight="1">
      <c r="A999" s="1"/>
    </row>
    <row r="1000" ht="14.25" customHeight="1">
      <c r="A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32.29"/>
    <col customWidth="1" min="3" max="3" width="12.86"/>
    <col customWidth="1" min="4" max="5" width="8.71"/>
    <col customWidth="1" min="6" max="6" width="13.14"/>
    <col customWidth="1" min="7" max="26" width="8.71"/>
  </cols>
  <sheetData>
    <row r="1" ht="14.25" customHeight="1">
      <c r="A1" s="2" t="s">
        <v>14</v>
      </c>
      <c r="B1" s="2" t="s">
        <v>15</v>
      </c>
      <c r="C1" s="2" t="s">
        <v>0</v>
      </c>
      <c r="D1" s="2" t="s">
        <v>16</v>
      </c>
      <c r="E1" s="2" t="s">
        <v>17</v>
      </c>
      <c r="F1" s="2" t="s">
        <v>18</v>
      </c>
    </row>
    <row r="2" ht="14.25" customHeight="1">
      <c r="A2" s="2">
        <f t="array" ref="A2">XLOOKUP(B2,'Customer Information'!B:B,'Customer Information'!A:A)</f>
        <v>1234</v>
      </c>
      <c r="B2" s="2" t="s">
        <v>19</v>
      </c>
      <c r="C2" s="2">
        <v>10006.0</v>
      </c>
      <c r="D2" s="2">
        <v>1904.0</v>
      </c>
      <c r="E2" s="2">
        <v>32.0</v>
      </c>
      <c r="F2" s="4">
        <v>45658.0</v>
      </c>
    </row>
    <row r="3" ht="14.25" customHeight="1">
      <c r="A3" s="2">
        <f t="array" ref="A3">XLOOKUP(B3,'Customer Information'!B:B,'Customer Information'!A:A)</f>
        <v>9876</v>
      </c>
      <c r="B3" s="5" t="s">
        <v>20</v>
      </c>
      <c r="C3" s="2">
        <v>10005.0</v>
      </c>
      <c r="D3" s="2">
        <v>3966.0</v>
      </c>
      <c r="E3" s="2">
        <v>68.0</v>
      </c>
      <c r="F3" s="4">
        <v>45659.0</v>
      </c>
    </row>
    <row r="4" ht="14.25" customHeight="1">
      <c r="A4" s="2">
        <f t="array" ref="A4">XLOOKUP(B4,'Customer Information'!B:B,'Customer Information'!A:A)</f>
        <v>2468</v>
      </c>
      <c r="B4" s="5" t="s">
        <v>21</v>
      </c>
      <c r="C4" s="2">
        <v>10004.0</v>
      </c>
      <c r="D4" s="2">
        <v>7348.0</v>
      </c>
      <c r="E4" s="2">
        <v>69.0</v>
      </c>
      <c r="F4" s="4">
        <v>45660.0</v>
      </c>
    </row>
    <row r="5" ht="14.25" customHeight="1">
      <c r="A5" s="2">
        <f t="array" ref="A5">XLOOKUP(B5,'Customer Information'!B:B,'Customer Information'!A:A)</f>
        <v>1357</v>
      </c>
      <c r="B5" s="2" t="s">
        <v>22</v>
      </c>
      <c r="C5" s="2">
        <v>10005.0</v>
      </c>
      <c r="D5" s="2">
        <v>2409.0</v>
      </c>
      <c r="E5" s="2">
        <v>48.0</v>
      </c>
      <c r="F5" s="4">
        <v>45661.0</v>
      </c>
    </row>
    <row r="6" ht="14.25" customHeight="1">
      <c r="A6" s="2">
        <f t="array" ref="A6">XLOOKUP(B6,'Customer Information'!B:B,'Customer Information'!A:A)</f>
        <v>1234</v>
      </c>
      <c r="B6" s="2" t="s">
        <v>19</v>
      </c>
      <c r="C6" s="2">
        <v>10010.0</v>
      </c>
      <c r="D6" s="2">
        <v>2045.0</v>
      </c>
      <c r="E6" s="2">
        <v>70.0</v>
      </c>
      <c r="F6" s="4">
        <v>45662.0</v>
      </c>
    </row>
    <row r="7" ht="14.25" customHeight="1">
      <c r="A7" s="2">
        <f t="array" ref="A7">XLOOKUP(B7,'Customer Information'!B:B,'Customer Information'!A:A)</f>
        <v>9876</v>
      </c>
      <c r="B7" s="5" t="s">
        <v>20</v>
      </c>
      <c r="C7" s="2">
        <v>10008.0</v>
      </c>
      <c r="D7" s="2">
        <v>9151.0</v>
      </c>
      <c r="E7" s="2">
        <v>6.0</v>
      </c>
      <c r="F7" s="4">
        <v>45663.0</v>
      </c>
    </row>
    <row r="8" ht="14.25" customHeight="1">
      <c r="A8" s="2">
        <f t="array" ref="A8">XLOOKUP(B8,'Customer Information'!B:B,'Customer Information'!A:A)</f>
        <v>2468</v>
      </c>
      <c r="B8" s="5" t="s">
        <v>21</v>
      </c>
      <c r="C8" s="2">
        <v>10003.0</v>
      </c>
      <c r="D8" s="2">
        <v>1065.0</v>
      </c>
      <c r="E8" s="2">
        <v>59.0</v>
      </c>
      <c r="F8" s="4">
        <v>45664.0</v>
      </c>
    </row>
    <row r="9" ht="14.25" customHeight="1">
      <c r="A9" s="2">
        <f t="array" ref="A9">XLOOKUP(B9,'Customer Information'!B:B,'Customer Information'!A:A)</f>
        <v>1357</v>
      </c>
      <c r="B9" s="2" t="s">
        <v>22</v>
      </c>
      <c r="C9" s="2">
        <v>10003.0</v>
      </c>
      <c r="D9" s="2">
        <v>3780.0</v>
      </c>
      <c r="E9" s="2">
        <v>72.0</v>
      </c>
      <c r="F9" s="4">
        <v>45665.0</v>
      </c>
    </row>
    <row r="10" ht="14.25" customHeight="1">
      <c r="A10" s="2">
        <f t="array" ref="A10">XLOOKUP(B10,'Customer Information'!B:B,'Customer Information'!A:A)</f>
        <v>1234</v>
      </c>
      <c r="B10" s="2" t="s">
        <v>19</v>
      </c>
      <c r="C10" s="2">
        <v>10001.0</v>
      </c>
      <c r="D10" s="2">
        <v>1043.0</v>
      </c>
      <c r="E10" s="2">
        <v>67.0</v>
      </c>
      <c r="F10" s="4">
        <v>45666.0</v>
      </c>
    </row>
    <row r="11" ht="14.25" customHeight="1">
      <c r="A11" s="2">
        <f t="array" ref="A11">XLOOKUP(B11,'Customer Information'!B:B,'Customer Information'!A:A)</f>
        <v>9876</v>
      </c>
      <c r="B11" s="5" t="s">
        <v>20</v>
      </c>
      <c r="C11" s="2">
        <v>10007.0</v>
      </c>
      <c r="D11" s="2">
        <v>7075.0</v>
      </c>
      <c r="E11" s="2">
        <v>7.0</v>
      </c>
      <c r="F11" s="4">
        <v>45667.0</v>
      </c>
    </row>
    <row r="12" ht="14.25" customHeight="1">
      <c r="A12" s="2">
        <f t="array" ref="A12">XLOOKUP(B12,'Customer Information'!B:B,'Customer Information'!A:A)</f>
        <v>2468</v>
      </c>
      <c r="B12" s="5" t="s">
        <v>21</v>
      </c>
      <c r="C12" s="2">
        <v>10001.0</v>
      </c>
      <c r="D12" s="2">
        <v>6778.0</v>
      </c>
      <c r="E12" s="2">
        <v>23.0</v>
      </c>
      <c r="F12" s="4">
        <v>45668.0</v>
      </c>
    </row>
    <row r="13" ht="14.25" customHeight="1">
      <c r="A13" s="2">
        <f t="array" ref="A13">XLOOKUP(B13,'Customer Information'!B:B,'Customer Information'!A:A)</f>
        <v>1357</v>
      </c>
      <c r="B13" s="2" t="s">
        <v>22</v>
      </c>
      <c r="C13" s="2">
        <v>10008.0</v>
      </c>
      <c r="D13" s="2">
        <v>3572.0</v>
      </c>
      <c r="E13" s="2">
        <v>56.0</v>
      </c>
      <c r="F13" s="4">
        <v>45669.0</v>
      </c>
    </row>
    <row r="14" ht="14.25" customHeight="1">
      <c r="A14" s="2">
        <f t="array" ref="A14">XLOOKUP(B14,'Customer Information'!B:B,'Customer Information'!A:A)</f>
        <v>1234</v>
      </c>
      <c r="B14" s="2" t="s">
        <v>19</v>
      </c>
      <c r="C14" s="2">
        <v>10006.0</v>
      </c>
      <c r="D14" s="2">
        <v>4033.0</v>
      </c>
      <c r="E14" s="2">
        <v>51.0</v>
      </c>
      <c r="F14" s="4">
        <v>45670.0</v>
      </c>
    </row>
    <row r="15" ht="14.25" customHeight="1">
      <c r="A15" s="2">
        <f t="array" ref="A15">XLOOKUP(B15,'Customer Information'!B:B,'Customer Information'!A:A)</f>
        <v>9876</v>
      </c>
      <c r="B15" s="5" t="s">
        <v>20</v>
      </c>
      <c r="C15" s="2">
        <v>10005.0</v>
      </c>
      <c r="D15" s="2">
        <v>2073.0</v>
      </c>
      <c r="E15" s="2">
        <v>2.0</v>
      </c>
      <c r="F15" s="4">
        <v>45671.0</v>
      </c>
    </row>
    <row r="16" ht="14.25" customHeight="1">
      <c r="A16" s="2">
        <f t="array" ref="A16">XLOOKUP(B16,'Customer Information'!B:B,'Customer Information'!A:A)</f>
        <v>2468</v>
      </c>
      <c r="B16" s="5" t="s">
        <v>21</v>
      </c>
      <c r="C16" s="2">
        <v>10010.0</v>
      </c>
      <c r="D16" s="2">
        <v>7333.0</v>
      </c>
      <c r="E16" s="2">
        <v>45.0</v>
      </c>
      <c r="F16" s="4">
        <v>45672.0</v>
      </c>
    </row>
    <row r="17" ht="14.25" customHeight="1">
      <c r="A17" s="2">
        <f t="array" ref="A17">XLOOKUP(B17,'Customer Information'!B:B,'Customer Information'!A:A)</f>
        <v>1357</v>
      </c>
      <c r="B17" s="2" t="s">
        <v>22</v>
      </c>
      <c r="C17" s="2">
        <v>10005.0</v>
      </c>
      <c r="D17" s="2">
        <v>3352.0</v>
      </c>
      <c r="E17" s="2">
        <v>13.0</v>
      </c>
      <c r="F17" s="4">
        <v>45673.0</v>
      </c>
    </row>
    <row r="18" ht="14.25" customHeight="1">
      <c r="A18" s="2">
        <f t="array" ref="A18">XLOOKUP(B18,'Customer Information'!B:B,'Customer Information'!A:A)</f>
        <v>1234</v>
      </c>
      <c r="B18" s="2" t="s">
        <v>19</v>
      </c>
      <c r="C18" s="2">
        <v>10003.0</v>
      </c>
      <c r="D18" s="2">
        <v>2078.0</v>
      </c>
      <c r="E18" s="2">
        <v>4.0</v>
      </c>
      <c r="F18" s="4">
        <v>45674.0</v>
      </c>
    </row>
    <row r="19" ht="14.25" customHeight="1">
      <c r="A19" s="2">
        <f t="array" ref="A19">XLOOKUP(B19,'Customer Information'!B:B,'Customer Information'!A:A)</f>
        <v>1234</v>
      </c>
      <c r="B19" s="2" t="s">
        <v>19</v>
      </c>
      <c r="C19" s="2">
        <v>10005.0</v>
      </c>
      <c r="D19" s="2">
        <v>7616.0</v>
      </c>
      <c r="E19" s="2">
        <v>78.0</v>
      </c>
      <c r="F19" s="4">
        <v>45675.0</v>
      </c>
    </row>
    <row r="20" ht="14.25" customHeight="1">
      <c r="A20" s="2">
        <f t="array" ref="A20">XLOOKUP(B20,'Customer Information'!B:B,'Customer Information'!A:A)</f>
        <v>9876</v>
      </c>
      <c r="B20" s="5" t="s">
        <v>20</v>
      </c>
      <c r="C20" s="2">
        <v>10009.0</v>
      </c>
      <c r="D20" s="2">
        <v>6762.0</v>
      </c>
      <c r="E20" s="2">
        <v>70.0</v>
      </c>
      <c r="F20" s="4">
        <v>45676.0</v>
      </c>
    </row>
    <row r="21" ht="14.25" customHeight="1">
      <c r="A21" s="2">
        <f t="array" ref="A21">XLOOKUP(B21,'Customer Information'!B:B,'Customer Information'!A:A)</f>
        <v>2468</v>
      </c>
      <c r="B21" s="5" t="s">
        <v>21</v>
      </c>
      <c r="C21" s="2">
        <v>10005.0</v>
      </c>
      <c r="D21" s="2">
        <v>4556.0</v>
      </c>
      <c r="E21" s="2">
        <v>4.0</v>
      </c>
      <c r="F21" s="4">
        <v>45677.0</v>
      </c>
    </row>
    <row r="22" ht="14.25" customHeight="1">
      <c r="A22" s="2">
        <f t="array" ref="A22">XLOOKUP(B22,'Customer Information'!B:B,'Customer Information'!A:A)</f>
        <v>1357</v>
      </c>
      <c r="B22" s="2" t="s">
        <v>22</v>
      </c>
      <c r="C22" s="2">
        <v>10008.0</v>
      </c>
      <c r="D22" s="2">
        <v>2659.0</v>
      </c>
      <c r="E22" s="2">
        <v>73.0</v>
      </c>
      <c r="F22" s="4">
        <v>45678.0</v>
      </c>
    </row>
    <row r="23" ht="14.25" customHeight="1">
      <c r="A23" s="2">
        <f t="array" ref="A23">XLOOKUP(B23,'Customer Information'!B:B,'Customer Information'!A:A)</f>
        <v>1234</v>
      </c>
      <c r="B23" s="2" t="s">
        <v>19</v>
      </c>
      <c r="C23" s="2">
        <v>10005.0</v>
      </c>
      <c r="D23" s="2">
        <v>5020.0</v>
      </c>
      <c r="E23" s="2">
        <v>30.0</v>
      </c>
      <c r="F23" s="4">
        <v>45679.0</v>
      </c>
    </row>
    <row r="24" ht="14.25" customHeight="1">
      <c r="A24" s="2">
        <f t="array" ref="A24">XLOOKUP(B24,'Customer Information'!B:B,'Customer Information'!A:A)</f>
        <v>9876</v>
      </c>
      <c r="B24" s="5" t="s">
        <v>20</v>
      </c>
      <c r="C24" s="2">
        <v>10009.0</v>
      </c>
      <c r="D24" s="2">
        <v>3887.0</v>
      </c>
      <c r="E24" s="2">
        <v>49.0</v>
      </c>
      <c r="F24" s="4">
        <v>45680.0</v>
      </c>
    </row>
    <row r="25" ht="14.25" customHeight="1">
      <c r="A25" s="2">
        <f t="array" ref="A25">XLOOKUP(B25,'Customer Information'!B:B,'Customer Information'!A:A)</f>
        <v>2468</v>
      </c>
      <c r="B25" s="5" t="s">
        <v>21</v>
      </c>
      <c r="C25" s="2">
        <v>10001.0</v>
      </c>
      <c r="D25" s="2">
        <v>1341.0</v>
      </c>
      <c r="E25" s="2">
        <v>66.0</v>
      </c>
      <c r="F25" s="4">
        <v>45681.0</v>
      </c>
    </row>
    <row r="26" ht="14.25" customHeight="1">
      <c r="A26" s="2">
        <f t="array" ref="A26">XLOOKUP(B26,'Customer Information'!B:B,'Customer Information'!A:A)</f>
        <v>1357</v>
      </c>
      <c r="B26" s="2" t="s">
        <v>22</v>
      </c>
      <c r="C26" s="2">
        <v>10006.0</v>
      </c>
      <c r="D26" s="2">
        <v>8459.0</v>
      </c>
      <c r="E26" s="2">
        <v>4.0</v>
      </c>
      <c r="F26" s="4">
        <v>45682.0</v>
      </c>
    </row>
    <row r="27" ht="14.25" customHeight="1">
      <c r="A27" s="2">
        <f t="array" ref="A27">XLOOKUP(B27,'Customer Information'!B:B,'Customer Information'!A:A)</f>
        <v>1234</v>
      </c>
      <c r="B27" s="2" t="s">
        <v>19</v>
      </c>
      <c r="C27" s="2">
        <v>10001.0</v>
      </c>
      <c r="D27" s="2">
        <v>7175.0</v>
      </c>
      <c r="E27" s="2">
        <v>5.0</v>
      </c>
      <c r="F27" s="4">
        <v>45683.0</v>
      </c>
    </row>
    <row r="28" ht="14.25" customHeight="1">
      <c r="A28" s="2">
        <f t="array" ref="A28">XLOOKUP(B28,'Customer Information'!B:B,'Customer Information'!A:A)</f>
        <v>9876</v>
      </c>
      <c r="B28" s="5" t="s">
        <v>20</v>
      </c>
      <c r="C28" s="2">
        <v>10009.0</v>
      </c>
      <c r="D28" s="2">
        <v>4267.0</v>
      </c>
      <c r="E28" s="2">
        <v>71.0</v>
      </c>
      <c r="F28" s="4">
        <v>45684.0</v>
      </c>
    </row>
    <row r="29" ht="14.25" customHeight="1">
      <c r="A29" s="2">
        <f t="array" ref="A29">XLOOKUP(B29,'Customer Information'!B:B,'Customer Information'!A:A)</f>
        <v>2468</v>
      </c>
      <c r="B29" s="5" t="s">
        <v>21</v>
      </c>
      <c r="C29" s="2">
        <v>10007.0</v>
      </c>
      <c r="D29" s="2">
        <v>1157.0</v>
      </c>
      <c r="E29" s="2">
        <v>57.0</v>
      </c>
      <c r="F29" s="4">
        <v>45685.0</v>
      </c>
    </row>
    <row r="30" ht="14.25" customHeight="1">
      <c r="A30" s="2">
        <f t="array" ref="A30">XLOOKUP(B30,'Customer Information'!B:B,'Customer Information'!A:A)</f>
        <v>1357</v>
      </c>
      <c r="B30" s="2" t="s">
        <v>22</v>
      </c>
      <c r="C30" s="2">
        <v>10008.0</v>
      </c>
      <c r="D30" s="2">
        <v>1753.0</v>
      </c>
      <c r="E30" s="2">
        <v>9.0</v>
      </c>
      <c r="F30" s="4">
        <v>45686.0</v>
      </c>
    </row>
    <row r="31" ht="14.25" customHeight="1">
      <c r="A31" s="2">
        <f t="array" ref="A31">XLOOKUP(B31,'Customer Information'!B:B,'Customer Information'!A:A)</f>
        <v>1234</v>
      </c>
      <c r="B31" s="2" t="s">
        <v>19</v>
      </c>
      <c r="C31" s="2">
        <v>10006.0</v>
      </c>
      <c r="D31" s="2">
        <v>1913.0</v>
      </c>
      <c r="E31" s="2">
        <v>16.0</v>
      </c>
      <c r="F31" s="4">
        <v>45687.0</v>
      </c>
    </row>
    <row r="32" ht="14.25" customHeight="1">
      <c r="A32" s="2">
        <f t="array" ref="A32">XLOOKUP(B32,'Customer Information'!B:B,'Customer Information'!A:A)</f>
        <v>1234</v>
      </c>
      <c r="B32" s="2" t="s">
        <v>19</v>
      </c>
      <c r="C32" s="2">
        <v>10007.0</v>
      </c>
      <c r="D32" s="2">
        <v>4133.0</v>
      </c>
      <c r="E32" s="2">
        <v>46.0</v>
      </c>
      <c r="F32" s="4">
        <v>45688.0</v>
      </c>
    </row>
    <row r="33" ht="14.25" customHeight="1">
      <c r="A33" s="2">
        <f t="array" ref="A33">XLOOKUP(B33,'Customer Information'!B:B,'Customer Information'!A:A)</f>
        <v>1234</v>
      </c>
      <c r="B33" s="2" t="s">
        <v>19</v>
      </c>
      <c r="C33" s="2">
        <v>10007.0</v>
      </c>
      <c r="D33" s="2">
        <v>9562.0</v>
      </c>
      <c r="E33" s="2">
        <v>50.0</v>
      </c>
      <c r="F33" s="4">
        <v>45689.0</v>
      </c>
    </row>
    <row r="34" ht="14.25" customHeight="1">
      <c r="A34" s="2">
        <f t="array" ref="A34">XLOOKUP(B34,'Customer Information'!B:B,'Customer Information'!A:A)</f>
        <v>9876</v>
      </c>
      <c r="B34" s="5" t="s">
        <v>20</v>
      </c>
      <c r="C34" s="2">
        <v>10008.0</v>
      </c>
      <c r="D34" s="2">
        <v>3075.0</v>
      </c>
      <c r="E34" s="2">
        <v>11.0</v>
      </c>
      <c r="F34" s="4">
        <v>45690.0</v>
      </c>
    </row>
    <row r="35" ht="14.25" customHeight="1">
      <c r="A35" s="2">
        <f t="array" ref="A35">XLOOKUP(B35,'Customer Information'!B:B,'Customer Information'!A:A)</f>
        <v>2468</v>
      </c>
      <c r="B35" s="5" t="s">
        <v>21</v>
      </c>
      <c r="C35" s="2">
        <v>10003.0</v>
      </c>
      <c r="D35" s="2">
        <v>7854.0</v>
      </c>
      <c r="E35" s="2">
        <v>66.0</v>
      </c>
      <c r="F35" s="4">
        <v>45691.0</v>
      </c>
    </row>
    <row r="36" ht="14.25" customHeight="1">
      <c r="A36" s="2">
        <f t="array" ref="A36">XLOOKUP(B36,'Customer Information'!B:B,'Customer Information'!A:A)</f>
        <v>1357</v>
      </c>
      <c r="B36" s="2" t="s">
        <v>22</v>
      </c>
      <c r="C36" s="2">
        <v>10005.0</v>
      </c>
      <c r="D36" s="2">
        <v>9057.0</v>
      </c>
      <c r="E36" s="2">
        <v>55.0</v>
      </c>
      <c r="F36" s="4">
        <v>45692.0</v>
      </c>
    </row>
    <row r="37" ht="14.25" customHeight="1">
      <c r="A37" s="2">
        <f t="array" ref="A37">XLOOKUP(B37,'Customer Information'!B:B,'Customer Information'!A:A)</f>
        <v>1234</v>
      </c>
      <c r="B37" s="2" t="s">
        <v>19</v>
      </c>
      <c r="C37" s="2">
        <v>10002.0</v>
      </c>
      <c r="D37" s="2">
        <v>5779.0</v>
      </c>
      <c r="E37" s="2">
        <v>32.0</v>
      </c>
      <c r="F37" s="4">
        <v>45693.0</v>
      </c>
    </row>
    <row r="38" ht="14.25" customHeight="1">
      <c r="A38" s="2">
        <f t="array" ref="A38">XLOOKUP(B38,'Customer Information'!B:B,'Customer Information'!A:A)</f>
        <v>9876</v>
      </c>
      <c r="B38" s="5" t="s">
        <v>20</v>
      </c>
      <c r="C38" s="2">
        <v>10001.0</v>
      </c>
      <c r="D38" s="2">
        <v>3587.0</v>
      </c>
      <c r="E38" s="2">
        <v>48.0</v>
      </c>
      <c r="F38" s="4">
        <v>45694.0</v>
      </c>
    </row>
    <row r="39" ht="14.25" customHeight="1">
      <c r="A39" s="2">
        <f t="array" ref="A39">XLOOKUP(B39,'Customer Information'!B:B,'Customer Information'!A:A)</f>
        <v>2468</v>
      </c>
      <c r="B39" s="5" t="s">
        <v>21</v>
      </c>
      <c r="C39" s="2">
        <v>10007.0</v>
      </c>
      <c r="D39" s="2">
        <v>3718.0</v>
      </c>
      <c r="E39" s="2">
        <v>58.0</v>
      </c>
      <c r="F39" s="4">
        <v>45695.0</v>
      </c>
    </row>
    <row r="40" ht="14.25" customHeight="1">
      <c r="A40" s="2">
        <f t="array" ref="A40">XLOOKUP(B40,'Customer Information'!B:B,'Customer Information'!A:A)</f>
        <v>1357</v>
      </c>
      <c r="B40" s="2" t="s">
        <v>22</v>
      </c>
      <c r="C40" s="2">
        <v>10005.0</v>
      </c>
      <c r="D40" s="2">
        <v>1875.0</v>
      </c>
      <c r="E40" s="2">
        <v>19.0</v>
      </c>
      <c r="F40" s="4">
        <v>45696.0</v>
      </c>
    </row>
    <row r="41" ht="14.25" customHeight="1">
      <c r="A41" s="2">
        <f t="array" ref="A41">XLOOKUP(B41,'Customer Information'!B:B,'Customer Information'!A:A)</f>
        <v>1234</v>
      </c>
      <c r="B41" s="2" t="s">
        <v>19</v>
      </c>
      <c r="C41" s="2">
        <v>10005.0</v>
      </c>
      <c r="D41" s="2">
        <v>8526.0</v>
      </c>
      <c r="E41" s="2">
        <v>54.0</v>
      </c>
      <c r="F41" s="4">
        <v>45697.0</v>
      </c>
    </row>
    <row r="42" ht="14.25" customHeight="1">
      <c r="A42" s="2">
        <f t="array" ref="A42">XLOOKUP(B42,'Customer Information'!B:B,'Customer Information'!A:A)</f>
        <v>9876</v>
      </c>
      <c r="B42" s="5" t="s">
        <v>20</v>
      </c>
      <c r="C42" s="2">
        <v>10010.0</v>
      </c>
      <c r="D42" s="2">
        <v>7274.0</v>
      </c>
      <c r="E42" s="2">
        <v>60.0</v>
      </c>
      <c r="F42" s="4">
        <v>45698.0</v>
      </c>
    </row>
    <row r="43" ht="14.25" customHeight="1">
      <c r="A43" s="2">
        <f t="array" ref="A43">XLOOKUP(B43,'Customer Information'!B:B,'Customer Information'!A:A)</f>
        <v>2468</v>
      </c>
      <c r="B43" s="5" t="s">
        <v>21</v>
      </c>
      <c r="C43" s="2">
        <v>10003.0</v>
      </c>
      <c r="D43" s="2">
        <v>4500.0</v>
      </c>
      <c r="E43" s="2">
        <v>19.0</v>
      </c>
      <c r="F43" s="4">
        <v>45699.0</v>
      </c>
    </row>
    <row r="44" ht="14.25" customHeight="1">
      <c r="A44" s="2">
        <f t="array" ref="A44">XLOOKUP(B44,'Customer Information'!B:B,'Customer Information'!A:A)</f>
        <v>1357</v>
      </c>
      <c r="B44" s="2" t="s">
        <v>22</v>
      </c>
      <c r="C44" s="2">
        <v>10004.0</v>
      </c>
      <c r="D44" s="2">
        <v>3789.0</v>
      </c>
      <c r="E44" s="2">
        <v>4.0</v>
      </c>
      <c r="F44" s="4">
        <v>45700.0</v>
      </c>
    </row>
    <row r="45" ht="14.25" customHeight="1">
      <c r="A45" s="2">
        <f t="array" ref="A45">XLOOKUP(B45,'Customer Information'!B:B,'Customer Information'!A:A)</f>
        <v>1234</v>
      </c>
      <c r="B45" s="2" t="s">
        <v>19</v>
      </c>
      <c r="C45" s="2">
        <v>10010.0</v>
      </c>
      <c r="D45" s="2">
        <v>3665.0</v>
      </c>
      <c r="E45" s="2">
        <v>76.0</v>
      </c>
      <c r="F45" s="4">
        <v>45701.0</v>
      </c>
    </row>
    <row r="46" ht="14.25" customHeight="1">
      <c r="A46" s="2">
        <f t="array" ref="A46">XLOOKUP(B46,'Customer Information'!B:B,'Customer Information'!A:A)</f>
        <v>9876</v>
      </c>
      <c r="B46" s="5" t="s">
        <v>20</v>
      </c>
      <c r="C46" s="2">
        <v>10006.0</v>
      </c>
      <c r="D46" s="2">
        <v>9760.0</v>
      </c>
      <c r="E46" s="2">
        <v>26.0</v>
      </c>
      <c r="F46" s="4">
        <v>45702.0</v>
      </c>
    </row>
    <row r="47" ht="14.25" customHeight="1">
      <c r="A47" s="2">
        <f t="array" ref="A47">XLOOKUP(B47,'Customer Information'!B:B,'Customer Information'!A:A)</f>
        <v>2468</v>
      </c>
      <c r="B47" s="5" t="s">
        <v>21</v>
      </c>
      <c r="C47" s="2">
        <v>10003.0</v>
      </c>
      <c r="D47" s="2">
        <v>5432.0</v>
      </c>
      <c r="E47" s="2">
        <v>35.0</v>
      </c>
      <c r="F47" s="4">
        <v>45703.0</v>
      </c>
    </row>
    <row r="48" ht="14.25" customHeight="1">
      <c r="A48" s="2">
        <f t="array" ref="A48">XLOOKUP(B48,'Customer Information'!B:B,'Customer Information'!A:A)</f>
        <v>1357</v>
      </c>
      <c r="B48" s="2" t="s">
        <v>22</v>
      </c>
      <c r="C48" s="2">
        <v>10008.0</v>
      </c>
      <c r="D48" s="2">
        <v>6035.0</v>
      </c>
      <c r="E48" s="2">
        <v>67.0</v>
      </c>
      <c r="F48" s="4">
        <v>45704.0</v>
      </c>
    </row>
    <row r="49" ht="14.25" customHeight="1">
      <c r="A49" s="2">
        <f t="array" ref="A49">XLOOKUP(B49,'Customer Information'!B:B,'Customer Information'!A:A)</f>
        <v>1234</v>
      </c>
      <c r="B49" s="2" t="s">
        <v>19</v>
      </c>
      <c r="C49" s="2">
        <v>10003.0</v>
      </c>
      <c r="D49" s="2">
        <v>3522.0</v>
      </c>
      <c r="E49" s="2">
        <v>27.0</v>
      </c>
      <c r="F49" s="4">
        <v>45705.0</v>
      </c>
    </row>
    <row r="50" ht="14.25" customHeight="1">
      <c r="A50" s="2">
        <f t="array" ref="A50">XLOOKUP(B50,'Customer Information'!B:B,'Customer Information'!A:A)</f>
        <v>9876</v>
      </c>
      <c r="B50" s="5" t="s">
        <v>20</v>
      </c>
      <c r="C50" s="2">
        <v>10007.0</v>
      </c>
      <c r="D50" s="2">
        <v>9305.0</v>
      </c>
      <c r="E50" s="2">
        <v>6.0</v>
      </c>
      <c r="F50" s="4">
        <v>45706.0</v>
      </c>
    </row>
    <row r="51" ht="14.25" customHeight="1">
      <c r="A51" s="2">
        <f t="array" ref="A51">XLOOKUP(B51,'Customer Information'!B:B,'Customer Information'!A:A)</f>
        <v>2468</v>
      </c>
      <c r="B51" s="5" t="s">
        <v>21</v>
      </c>
      <c r="C51" s="2">
        <v>10005.0</v>
      </c>
      <c r="D51" s="2">
        <v>1436.0</v>
      </c>
      <c r="E51" s="2">
        <v>41.0</v>
      </c>
      <c r="F51" s="4">
        <v>45707.0</v>
      </c>
    </row>
    <row r="52" ht="14.25" customHeight="1">
      <c r="A52" s="2">
        <f t="array" ref="A52">XLOOKUP(B52,'Customer Information'!B:B,'Customer Information'!A:A)</f>
        <v>1357</v>
      </c>
      <c r="B52" s="2" t="s">
        <v>22</v>
      </c>
      <c r="C52" s="2">
        <v>10008.0</v>
      </c>
      <c r="D52" s="2">
        <v>9814.0</v>
      </c>
      <c r="E52" s="2">
        <v>36.0</v>
      </c>
      <c r="F52" s="4">
        <v>45708.0</v>
      </c>
    </row>
    <row r="53" ht="14.25" customHeight="1">
      <c r="A53" s="2">
        <f t="array" ref="A53">XLOOKUP(B53,'Customer Information'!B:B,'Customer Information'!A:A)</f>
        <v>1234</v>
      </c>
      <c r="B53" s="2" t="s">
        <v>19</v>
      </c>
      <c r="C53" s="2">
        <v>10008.0</v>
      </c>
      <c r="D53" s="2">
        <v>8032.0</v>
      </c>
      <c r="E53" s="2">
        <v>75.0</v>
      </c>
      <c r="F53" s="4">
        <v>45709.0</v>
      </c>
    </row>
    <row r="54" ht="14.25" customHeight="1">
      <c r="A54" s="2">
        <f t="array" ref="A54">XLOOKUP(B54,'Customer Information'!B:B,'Customer Information'!A:A)</f>
        <v>9876</v>
      </c>
      <c r="B54" s="5" t="s">
        <v>20</v>
      </c>
      <c r="C54" s="2">
        <v>10008.0</v>
      </c>
      <c r="D54" s="2">
        <v>7580.0</v>
      </c>
      <c r="E54" s="2">
        <v>32.0</v>
      </c>
      <c r="F54" s="4">
        <v>45710.0</v>
      </c>
    </row>
    <row r="55" ht="14.25" customHeight="1">
      <c r="A55" s="2">
        <f t="array" ref="A55">XLOOKUP(B55,'Customer Information'!B:B,'Customer Information'!A:A)</f>
        <v>2468</v>
      </c>
      <c r="B55" s="5" t="s">
        <v>21</v>
      </c>
      <c r="C55" s="2">
        <v>10003.0</v>
      </c>
      <c r="D55" s="2">
        <v>5730.0</v>
      </c>
      <c r="E55" s="2">
        <v>42.0</v>
      </c>
      <c r="F55" s="4">
        <v>45711.0</v>
      </c>
    </row>
    <row r="56" ht="14.25" customHeight="1">
      <c r="A56" s="2">
        <f t="array" ref="A56">XLOOKUP(B56,'Customer Information'!B:B,'Customer Information'!A:A)</f>
        <v>1357</v>
      </c>
      <c r="B56" s="2" t="s">
        <v>22</v>
      </c>
      <c r="C56" s="2">
        <v>10010.0</v>
      </c>
      <c r="D56" s="2">
        <v>5818.0</v>
      </c>
      <c r="E56" s="2">
        <v>5.0</v>
      </c>
      <c r="F56" s="4">
        <v>45712.0</v>
      </c>
    </row>
    <row r="57" ht="14.25" customHeight="1">
      <c r="A57" s="2">
        <f t="array" ref="A57">XLOOKUP(B57,'Customer Information'!B:B,'Customer Information'!A:A)</f>
        <v>1234</v>
      </c>
      <c r="B57" s="2" t="s">
        <v>19</v>
      </c>
      <c r="C57" s="2">
        <v>10010.0</v>
      </c>
      <c r="D57" s="2">
        <v>2462.0</v>
      </c>
      <c r="E57" s="2">
        <v>10.0</v>
      </c>
      <c r="F57" s="4">
        <v>45713.0</v>
      </c>
    </row>
    <row r="58" ht="14.25" customHeight="1">
      <c r="A58" s="2">
        <f t="array" ref="A58">XLOOKUP(B58,'Customer Information'!B:B,'Customer Information'!A:A)</f>
        <v>9876</v>
      </c>
      <c r="B58" s="5" t="s">
        <v>20</v>
      </c>
      <c r="C58" s="2">
        <v>10001.0</v>
      </c>
      <c r="D58" s="2">
        <v>5989.0</v>
      </c>
      <c r="E58" s="2">
        <v>70.0</v>
      </c>
      <c r="F58" s="4">
        <v>45714.0</v>
      </c>
    </row>
    <row r="59" ht="14.25" customHeight="1">
      <c r="A59" s="2">
        <f t="array" ref="A59">XLOOKUP(B59,'Customer Information'!B:B,'Customer Information'!A:A)</f>
        <v>2468</v>
      </c>
      <c r="B59" s="5" t="s">
        <v>21</v>
      </c>
      <c r="C59" s="2">
        <v>10002.0</v>
      </c>
      <c r="D59" s="2">
        <v>6153.0</v>
      </c>
      <c r="E59" s="2">
        <v>45.0</v>
      </c>
      <c r="F59" s="4">
        <v>45715.0</v>
      </c>
    </row>
    <row r="60" ht="14.25" customHeight="1">
      <c r="A60" s="2">
        <f t="array" ref="A60">XLOOKUP(B60,'Customer Information'!B:B,'Customer Information'!A:A)</f>
        <v>1357</v>
      </c>
      <c r="B60" s="2" t="s">
        <v>22</v>
      </c>
      <c r="C60" s="2">
        <v>10006.0</v>
      </c>
      <c r="D60" s="2">
        <v>4606.0</v>
      </c>
      <c r="E60" s="2">
        <v>53.0</v>
      </c>
      <c r="F60" s="4">
        <v>45716.0</v>
      </c>
    </row>
    <row r="61" ht="14.25" customHeight="1">
      <c r="A61" s="2">
        <f t="array" ref="A61">XLOOKUP(B61,'Customer Information'!B:B,'Customer Information'!A:A)</f>
        <v>1234</v>
      </c>
      <c r="B61" s="2" t="s">
        <v>19</v>
      </c>
      <c r="C61" s="2">
        <v>10010.0</v>
      </c>
      <c r="D61" s="2">
        <v>2059.0</v>
      </c>
      <c r="E61" s="2">
        <v>54.0</v>
      </c>
      <c r="F61" s="4">
        <v>45717.0</v>
      </c>
    </row>
    <row r="62" ht="14.25" customHeight="1">
      <c r="A62" s="2">
        <f t="array" ref="A62">XLOOKUP(B62,'Customer Information'!B:B,'Customer Information'!A:A)</f>
        <v>9876</v>
      </c>
      <c r="B62" s="5" t="s">
        <v>20</v>
      </c>
      <c r="C62" s="2">
        <v>10003.0</v>
      </c>
      <c r="D62" s="2">
        <v>8063.0</v>
      </c>
      <c r="E62" s="2">
        <v>26.0</v>
      </c>
      <c r="F62" s="4">
        <v>45718.0</v>
      </c>
    </row>
    <row r="63" ht="14.25" customHeight="1">
      <c r="A63" s="2">
        <f t="array" ref="A63">XLOOKUP(B63,'Customer Information'!B:B,'Customer Information'!A:A)</f>
        <v>2468</v>
      </c>
      <c r="B63" s="5" t="s">
        <v>21</v>
      </c>
      <c r="C63" s="2">
        <v>10005.0</v>
      </c>
      <c r="D63" s="2">
        <v>4266.0</v>
      </c>
      <c r="E63" s="2">
        <v>41.0</v>
      </c>
      <c r="F63" s="4">
        <v>45719.0</v>
      </c>
    </row>
    <row r="64" ht="14.25" customHeight="1">
      <c r="A64" s="2">
        <f t="array" ref="A64">XLOOKUP(B64,'Customer Information'!B:B,'Customer Information'!A:A)</f>
        <v>1357</v>
      </c>
      <c r="B64" s="2" t="s">
        <v>22</v>
      </c>
      <c r="C64" s="2">
        <v>10002.0</v>
      </c>
      <c r="D64" s="2">
        <v>7615.0</v>
      </c>
      <c r="E64" s="2">
        <v>54.0</v>
      </c>
      <c r="F64" s="4">
        <v>45720.0</v>
      </c>
    </row>
    <row r="65" ht="14.25" customHeight="1">
      <c r="A65" s="2">
        <f t="array" ref="A65">XLOOKUP(B65,'Customer Information'!B:B,'Customer Information'!A:A)</f>
        <v>1234</v>
      </c>
      <c r="B65" s="2" t="s">
        <v>19</v>
      </c>
      <c r="C65" s="2">
        <v>10004.0</v>
      </c>
      <c r="D65" s="2">
        <v>4859.0</v>
      </c>
      <c r="E65" s="2">
        <v>55.0</v>
      </c>
      <c r="F65" s="4">
        <v>45721.0</v>
      </c>
    </row>
    <row r="66" ht="14.25" customHeight="1">
      <c r="A66" s="2">
        <f t="array" ref="A66">XLOOKUP(B66,'Customer Information'!B:B,'Customer Information'!A:A)</f>
        <v>2468</v>
      </c>
      <c r="B66" s="5" t="s">
        <v>21</v>
      </c>
      <c r="C66" s="2">
        <v>10001.0</v>
      </c>
      <c r="D66" s="2">
        <v>7625.0</v>
      </c>
      <c r="E66" s="2">
        <v>17.0</v>
      </c>
      <c r="F66" s="4">
        <v>45722.0</v>
      </c>
    </row>
    <row r="67" ht="14.25" customHeight="1">
      <c r="A67" s="2">
        <f t="array" ref="A67">XLOOKUP(B67,'Customer Information'!B:B,'Customer Information'!A:A)</f>
        <v>1234</v>
      </c>
      <c r="B67" s="2" t="s">
        <v>19</v>
      </c>
      <c r="C67" s="2">
        <v>10004.0</v>
      </c>
      <c r="D67" s="2">
        <v>9996.0</v>
      </c>
      <c r="E67" s="2">
        <v>23.0</v>
      </c>
      <c r="F67" s="4">
        <v>45723.0</v>
      </c>
    </row>
    <row r="68" ht="14.25" customHeight="1">
      <c r="A68" s="2">
        <f t="array" ref="A68">XLOOKUP(B68,'Customer Information'!B:B,'Customer Information'!A:A)</f>
        <v>2468</v>
      </c>
      <c r="B68" s="5" t="s">
        <v>21</v>
      </c>
      <c r="C68" s="2">
        <v>10001.0</v>
      </c>
      <c r="D68" s="2">
        <v>6646.0</v>
      </c>
      <c r="E68" s="2">
        <v>48.0</v>
      </c>
      <c r="F68" s="4">
        <v>45724.0</v>
      </c>
    </row>
    <row r="69" ht="14.25" customHeight="1">
      <c r="A69" s="2">
        <f t="array" ref="A69">XLOOKUP(B69,'Customer Information'!B:B,'Customer Information'!A:A)</f>
        <v>9876</v>
      </c>
      <c r="B69" s="5" t="s">
        <v>20</v>
      </c>
      <c r="C69" s="2">
        <v>10004.0</v>
      </c>
      <c r="D69" s="2">
        <v>8427.0</v>
      </c>
      <c r="E69" s="2">
        <v>61.0</v>
      </c>
      <c r="F69" s="4">
        <v>45725.0</v>
      </c>
    </row>
    <row r="70" ht="14.25" customHeight="1">
      <c r="A70" s="2">
        <f t="array" ref="A70">XLOOKUP(B70,'Customer Information'!B:B,'Customer Information'!A:A)</f>
        <v>2468</v>
      </c>
      <c r="B70" s="5" t="s">
        <v>21</v>
      </c>
      <c r="C70" s="2">
        <v>10010.0</v>
      </c>
      <c r="D70" s="2">
        <v>2923.0</v>
      </c>
      <c r="E70" s="2">
        <v>23.0</v>
      </c>
      <c r="F70" s="4">
        <v>45726.0</v>
      </c>
    </row>
    <row r="71" ht="14.25" customHeight="1">
      <c r="A71" s="2">
        <f t="array" ref="A71">XLOOKUP(B71,'Customer Information'!B:B,'Customer Information'!A:A)</f>
        <v>1357</v>
      </c>
      <c r="B71" s="2" t="s">
        <v>22</v>
      </c>
      <c r="C71" s="2">
        <v>10007.0</v>
      </c>
      <c r="D71" s="2">
        <v>6624.0</v>
      </c>
      <c r="E71" s="2">
        <v>41.0</v>
      </c>
      <c r="F71" s="4">
        <v>45727.0</v>
      </c>
    </row>
    <row r="72" ht="14.25" customHeight="1">
      <c r="A72" s="2">
        <f t="array" ref="A72">XLOOKUP(B72,'Customer Information'!B:B,'Customer Information'!A:A)</f>
        <v>1234</v>
      </c>
      <c r="B72" s="2" t="s">
        <v>19</v>
      </c>
      <c r="C72" s="2">
        <v>10009.0</v>
      </c>
      <c r="D72" s="2">
        <v>4952.0</v>
      </c>
      <c r="E72" s="2">
        <v>37.0</v>
      </c>
      <c r="F72" s="4">
        <v>45728.0</v>
      </c>
    </row>
    <row r="73" ht="14.25" customHeight="1">
      <c r="A73" s="2">
        <f t="array" ref="A73">XLOOKUP(B73,'Customer Information'!B:B,'Customer Information'!A:A)</f>
        <v>2468</v>
      </c>
      <c r="B73" s="5" t="s">
        <v>21</v>
      </c>
      <c r="C73" s="2">
        <v>10005.0</v>
      </c>
      <c r="D73" s="2">
        <v>9881.0</v>
      </c>
      <c r="E73" s="2">
        <v>24.0</v>
      </c>
      <c r="F73" s="4">
        <v>45729.0</v>
      </c>
    </row>
    <row r="74" ht="14.25" customHeight="1">
      <c r="A74" s="2">
        <f t="array" ref="A74">XLOOKUP(B74,'Customer Information'!B:B,'Customer Information'!A:A)</f>
        <v>1234</v>
      </c>
      <c r="B74" s="2" t="s">
        <v>19</v>
      </c>
      <c r="C74" s="2">
        <v>10002.0</v>
      </c>
      <c r="D74" s="2">
        <v>4464.0</v>
      </c>
      <c r="E74" s="2">
        <v>59.0</v>
      </c>
      <c r="F74" s="4">
        <v>45730.0</v>
      </c>
    </row>
    <row r="75" ht="14.25" customHeight="1">
      <c r="A75" s="2">
        <f t="array" ref="A75">XLOOKUP(B75,'Customer Information'!B:B,'Customer Information'!A:A)</f>
        <v>2468</v>
      </c>
      <c r="B75" s="5" t="s">
        <v>21</v>
      </c>
      <c r="C75" s="2">
        <v>10001.0</v>
      </c>
      <c r="D75" s="2">
        <v>2005.0</v>
      </c>
      <c r="E75" s="2">
        <v>46.0</v>
      </c>
      <c r="F75" s="4">
        <v>45731.0</v>
      </c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31.71"/>
    <col customWidth="1" min="3" max="3" width="15.14"/>
    <col customWidth="1" min="4" max="4" width="12.14"/>
    <col customWidth="1" min="5" max="5" width="9.71"/>
    <col customWidth="1" min="6" max="6" width="7.29"/>
    <col customWidth="1" min="7" max="26" width="8.71"/>
  </cols>
  <sheetData>
    <row r="1" ht="14.25" customHeight="1">
      <c r="A1" s="2" t="s">
        <v>23</v>
      </c>
      <c r="B1" s="2" t="s">
        <v>15</v>
      </c>
      <c r="C1" s="2" t="s">
        <v>24</v>
      </c>
      <c r="D1" s="2" t="s">
        <v>25</v>
      </c>
      <c r="E1" s="2" t="s">
        <v>26</v>
      </c>
      <c r="F1" s="2" t="s">
        <v>27</v>
      </c>
    </row>
    <row r="2" ht="14.25" customHeight="1">
      <c r="A2" s="2">
        <v>1234.0</v>
      </c>
      <c r="B2" s="2" t="s">
        <v>19</v>
      </c>
      <c r="C2" s="2" t="s">
        <v>28</v>
      </c>
      <c r="D2" s="2" t="s">
        <v>29</v>
      </c>
      <c r="E2" s="2" t="s">
        <v>30</v>
      </c>
      <c r="F2" s="2">
        <v>70571.0</v>
      </c>
    </row>
    <row r="3" ht="14.25" customHeight="1">
      <c r="A3" s="2">
        <v>9876.0</v>
      </c>
      <c r="B3" s="5" t="s">
        <v>20</v>
      </c>
      <c r="C3" s="2" t="s">
        <v>31</v>
      </c>
      <c r="D3" s="2" t="s">
        <v>32</v>
      </c>
      <c r="E3" s="2" t="s">
        <v>32</v>
      </c>
      <c r="F3" s="2">
        <v>12546.0</v>
      </c>
    </row>
    <row r="4" ht="14.25" customHeight="1">
      <c r="A4" s="2">
        <v>2468.0</v>
      </c>
      <c r="B4" s="5" t="s">
        <v>21</v>
      </c>
      <c r="C4" s="2" t="s">
        <v>33</v>
      </c>
      <c r="D4" s="2" t="s">
        <v>34</v>
      </c>
      <c r="E4" s="2" t="s">
        <v>35</v>
      </c>
      <c r="F4" s="2">
        <v>93873.0</v>
      </c>
    </row>
    <row r="5" ht="14.25" customHeight="1">
      <c r="A5" s="2">
        <v>1357.0</v>
      </c>
      <c r="B5" s="2" t="s">
        <v>22</v>
      </c>
      <c r="C5" s="2" t="s">
        <v>36</v>
      </c>
      <c r="D5" s="2" t="s">
        <v>37</v>
      </c>
      <c r="E5" s="2" t="s">
        <v>38</v>
      </c>
      <c r="F5" s="2">
        <v>34979.0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2022-04-22T14:13:11Z</dcterms:created>
  <dc:creator>Alex Freberg</dc:creator>
</cp:coreProperties>
</file>